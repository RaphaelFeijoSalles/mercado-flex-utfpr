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CP" sheetId="1" r:id="rId5"/>
  </sheets>
  <definedNames/>
  <calcPr/>
</workbook>
</file>

<file path=xl/sharedStrings.xml><?xml version="1.0" encoding="utf-8"?>
<sst xmlns="http://schemas.openxmlformats.org/spreadsheetml/2006/main" count="112" uniqueCount="102">
  <si>
    <t>Mercado Flex - Pontos por Caso de Uso</t>
  </si>
  <si>
    <t>1. Relacionar os atores e dar-lhes peso</t>
  </si>
  <si>
    <t>Atores</t>
  </si>
  <si>
    <t>Peso</t>
  </si>
  <si>
    <t>Sistema de Pagamentos</t>
  </si>
  <si>
    <t>Cliente</t>
  </si>
  <si>
    <t>Administrador</t>
  </si>
  <si>
    <t>2. Calcular o Total de Pesos Não Ajustados dos Atores (TPNAA)</t>
  </si>
  <si>
    <t>Complexidade Ator</t>
  </si>
  <si>
    <t>Qtd. De Atores</t>
  </si>
  <si>
    <t>Resultado</t>
  </si>
  <si>
    <t>Simples</t>
  </si>
  <si>
    <t>Médio</t>
  </si>
  <si>
    <t>Complexo</t>
  </si>
  <si>
    <t>TPNAA</t>
  </si>
  <si>
    <t>3. Relacionar os Casos de Uso e dar-lhes peso</t>
  </si>
  <si>
    <t>Casos de Uso</t>
  </si>
  <si>
    <t>Efetuar Login</t>
  </si>
  <si>
    <t>Pesquisar Produtos</t>
  </si>
  <si>
    <t>Aplicar cupom de desconto</t>
  </si>
  <si>
    <t>Rastrear Pedido</t>
  </si>
  <si>
    <t>Gerenciar Carrinho</t>
  </si>
  <si>
    <t>Gerenciar Conta</t>
  </si>
  <si>
    <t>Gerenciar Pedidos</t>
  </si>
  <si>
    <t>Gerenciar Produtos</t>
  </si>
  <si>
    <t>Finalizar Compra</t>
  </si>
  <si>
    <t>4. Calcular o Total de Pesos Não Ajustados dos Casos de Uso (TPNAUC)</t>
  </si>
  <si>
    <t>Complexidade Casode Uso</t>
  </si>
  <si>
    <t>Qtd. De Casos de Uso</t>
  </si>
  <si>
    <t>TPNAUC</t>
  </si>
  <si>
    <t>5. Calcular os Pontos Totais Não Ajustados (PTNA)</t>
  </si>
  <si>
    <t>PTNA = TPNAA + TPNAUC</t>
  </si>
  <si>
    <t>PTNA = 8 + 8 =  22</t>
  </si>
  <si>
    <t>6. Criar a tabela de Fatores de Complexidade Ambiental (FCA)</t>
  </si>
  <si>
    <t>FATOR</t>
  </si>
  <si>
    <t xml:space="preserve">DESCRIÇÃO </t>
  </si>
  <si>
    <t>PESO</t>
  </si>
  <si>
    <t>VALOR</t>
  </si>
  <si>
    <t>EFATOR</t>
  </si>
  <si>
    <t>F1</t>
  </si>
  <si>
    <t>FAMILIARIDADE COM O PROCESSO ITERATIVO UNIFICADO</t>
  </si>
  <si>
    <t>F2</t>
  </si>
  <si>
    <t>EXPERIENCIA NA APLICAÇÃO</t>
  </si>
  <si>
    <t>F3</t>
  </si>
  <si>
    <t>EXPERIENCIA EM ORIENTAÇÃO A OBJETOS</t>
  </si>
  <si>
    <t>F4</t>
  </si>
  <si>
    <t>CAPACIDADE DE LIDERANÇA DE ANÁLISE</t>
  </si>
  <si>
    <t>F5</t>
  </si>
  <si>
    <t>MOTIVAÇÃO</t>
  </si>
  <si>
    <t>F6</t>
  </si>
  <si>
    <t>ESTABILIDADE DE REQUISITOS</t>
  </si>
  <si>
    <t>F7</t>
  </si>
  <si>
    <t>CONSULTORES PART-TIME</t>
  </si>
  <si>
    <t>F8</t>
  </si>
  <si>
    <t>DIFICULDADE DE PROGRAMAÇÃO NA LINGUAGEM</t>
  </si>
  <si>
    <t>TOTAL (EFATOR)</t>
  </si>
  <si>
    <t>FCA = 1,4 + (-0,03 * EFATOR)</t>
  </si>
  <si>
    <t xml:space="preserve"> FCA = 1,16</t>
  </si>
  <si>
    <t>7. Criar a tabela de Fatores de Complexidade Técnica (FCT)</t>
  </si>
  <si>
    <t>DESCRIÇÃO</t>
  </si>
  <si>
    <t>TFATOR</t>
  </si>
  <si>
    <t>T1</t>
  </si>
  <si>
    <t>DISTRIBUIÇÃO DO SISTEMA</t>
  </si>
  <si>
    <t>T2</t>
  </si>
  <si>
    <t>RESPOSTA AOS OBJETIVOS DE DESEMPENHO</t>
  </si>
  <si>
    <t>T3</t>
  </si>
  <si>
    <t>EFICIËNCIA DO USUÁRIO FINAL</t>
  </si>
  <si>
    <t>T4</t>
  </si>
  <si>
    <t>COMPLEXIDADE DO PROCESSO INTERNO</t>
  </si>
  <si>
    <t>T5</t>
  </si>
  <si>
    <t>CODIGO DEVE SER REUTILIZADO</t>
  </si>
  <si>
    <t>T6</t>
  </si>
  <si>
    <t>FACILIDADE DE INSTALAÇÃO</t>
  </si>
  <si>
    <t>T7</t>
  </si>
  <si>
    <t>FACILIDADE DE USO</t>
  </si>
  <si>
    <t>T8</t>
  </si>
  <si>
    <t>PORTABILIDADE</t>
  </si>
  <si>
    <t>T9</t>
  </si>
  <si>
    <t>FACILIDADE DE ALTERAR</t>
  </si>
  <si>
    <t>T10</t>
  </si>
  <si>
    <t>CONCORRENCIA</t>
  </si>
  <si>
    <t>T11</t>
  </si>
  <si>
    <t>FEATURES DE SEGURANÇA</t>
  </si>
  <si>
    <t>T12</t>
  </si>
  <si>
    <t>ACESSO DIRETO A DISPOTIVOS DE PARCEIROS</t>
  </si>
  <si>
    <t>T13</t>
  </si>
  <si>
    <t>TREINAMENTO ESPECIAL AOS USUÁRIOS</t>
  </si>
  <si>
    <t>TOTAL (TFATOR)</t>
  </si>
  <si>
    <t>FCT = 0.6 + (0.01 * TFATOR)</t>
  </si>
  <si>
    <t>FCT = 1,03</t>
  </si>
  <si>
    <t>8. Calcular os Pontos Totais de Caso de Uso</t>
  </si>
  <si>
    <t>PTUC = PTNA * FCT * FCA</t>
  </si>
  <si>
    <t>PTUC = 26,2856</t>
  </si>
  <si>
    <t>9. Efetivar estimativas com os pontos obtidos</t>
  </si>
  <si>
    <t>Sugestão de Karner</t>
  </si>
  <si>
    <t>Número de Horas = Número de Pontos Totais * 20 homens/hora</t>
  </si>
  <si>
    <t xml:space="preserve">PTUC = </t>
  </si>
  <si>
    <t xml:space="preserve">Horas = </t>
  </si>
  <si>
    <t>Horas por dia</t>
  </si>
  <si>
    <t>Dias por mês</t>
  </si>
  <si>
    <t>Dias</t>
  </si>
  <si>
    <t>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</si>
</sst>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_(* #,##0.00_);_(* \(#,##0.00\);_(* &quot;-&quot;??_);_(@_)"/>
    <numFmt numFmtId="166" formatCode="_(* #,##0_);_(* \(#,##0\);_(* &quot;-&quot;??_);_(@_)"/>
  </numFmts>
  <fonts count="8">
    <font>
      <sz val="10.0"/>
      <color rgb="FF000000"/>
      <name val="Arial"/>
      <scheme val="minor"/>
    </font>
    <font>
      <b/>
      <i/>
      <sz val="10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8.0"/>
      <color rgb="FFFF0000"/>
      <name val="Arial"/>
    </font>
    <font>
      <b/>
      <sz val="10.0"/>
      <color rgb="FFFF0000"/>
      <name val="Arial"/>
    </font>
    <font>
      <u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CC99FF"/>
        <bgColor rgb="FFCC99FF"/>
      </patternFill>
    </fill>
    <fill>
      <patternFill patternType="solid">
        <fgColor rgb="FF66FFFF"/>
        <bgColor rgb="FF66FFFF"/>
      </patternFill>
    </fill>
    <fill>
      <patternFill patternType="solid">
        <fgColor rgb="FFFFE598"/>
        <bgColor rgb="FFFFE598"/>
      </patternFill>
    </fill>
    <fill>
      <patternFill patternType="solid">
        <fgColor rgb="FFAEABAB"/>
        <bgColor rgb="FFAEABAB"/>
      </patternFill>
    </fill>
  </fills>
  <borders count="18">
    <border/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3" fillId="0" fontId="4" numFmtId="0" xfId="0" applyBorder="1" applyFont="1"/>
    <xf borderId="3" fillId="0" fontId="4" numFmtId="0" xfId="0" applyAlignment="1" applyBorder="1" applyFont="1">
      <alignment horizontal="center"/>
    </xf>
    <xf borderId="0" fillId="0" fontId="4" numFmtId="0" xfId="0" applyFont="1"/>
    <xf borderId="0" fillId="0" fontId="4" numFmtId="0" xfId="0" applyAlignment="1" applyFont="1">
      <alignment horizontal="right"/>
    </xf>
    <xf borderId="4" fillId="2" fontId="1" numFmtId="0" xfId="0" applyAlignment="1" applyBorder="1" applyFont="1">
      <alignment horizontal="left"/>
    </xf>
    <xf borderId="5" fillId="0" fontId="2" numFmtId="0" xfId="0" applyBorder="1" applyFont="1"/>
    <xf borderId="3" fillId="2" fontId="3" numFmtId="0" xfId="0" applyBorder="1" applyFont="1"/>
    <xf borderId="3" fillId="2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4" fontId="1" numFmtId="0" xfId="0" applyAlignment="1" applyBorder="1" applyFill="1" applyFont="1">
      <alignment horizontal="left"/>
    </xf>
    <xf borderId="3" fillId="0" fontId="4" numFmtId="0" xfId="0" applyAlignment="1" applyBorder="1" applyFont="1">
      <alignment shrinkToFit="0" wrapText="1"/>
    </xf>
    <xf borderId="6" fillId="0" fontId="4" numFmtId="0" xfId="0" applyBorder="1" applyFont="1"/>
    <xf borderId="0" fillId="0" fontId="4" numFmtId="0" xfId="0" applyAlignment="1" applyFont="1">
      <alignment horizontal="center"/>
    </xf>
    <xf borderId="3" fillId="3" fontId="3" numFmtId="11" xfId="0" applyAlignment="1" applyBorder="1" applyFont="1" applyNumberFormat="1">
      <alignment horizontal="center"/>
    </xf>
    <xf borderId="3" fillId="4" fontId="3" numFmtId="0" xfId="0" applyBorder="1" applyFont="1"/>
    <xf borderId="3" fillId="4" fontId="3" numFmtId="0" xfId="0" applyAlignment="1" applyBorder="1" applyFont="1">
      <alignment horizontal="center"/>
    </xf>
    <xf borderId="7" fillId="5" fontId="1" numFmtId="0" xfId="0" applyAlignment="1" applyBorder="1" applyFill="1" applyFont="1">
      <alignment horizontal="left"/>
    </xf>
    <xf borderId="8" fillId="0" fontId="2" numFmtId="0" xfId="0" applyBorder="1" applyFont="1"/>
    <xf borderId="3" fillId="5" fontId="3" numFmtId="0" xfId="0" applyBorder="1" applyFont="1"/>
    <xf borderId="3" fillId="5" fontId="3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0" fillId="0" fontId="3" numFmtId="0" xfId="0" applyFont="1"/>
    <xf borderId="4" fillId="6" fontId="1" numFmtId="0" xfId="0" applyAlignment="1" applyBorder="1" applyFill="1" applyFont="1">
      <alignment horizontal="left"/>
    </xf>
    <xf borderId="3" fillId="0" fontId="4" numFmtId="0" xfId="0" applyAlignment="1" applyBorder="1" applyFont="1">
      <alignment horizontal="center" readingOrder="0"/>
    </xf>
    <xf borderId="3" fillId="6" fontId="3" numFmtId="0" xfId="0" applyAlignment="1" applyBorder="1" applyFont="1">
      <alignment horizontal="center"/>
    </xf>
    <xf borderId="3" fillId="6" fontId="3" numFmtId="0" xfId="0" applyBorder="1" applyFont="1"/>
    <xf borderId="4" fillId="7" fontId="1" numFmtId="0" xfId="0" applyAlignment="1" applyBorder="1" applyFill="1" applyFont="1">
      <alignment horizontal="left"/>
    </xf>
    <xf borderId="9" fillId="0" fontId="4" numFmtId="0" xfId="0" applyBorder="1" applyFont="1"/>
    <xf borderId="3" fillId="7" fontId="3" numFmtId="0" xfId="0" applyAlignment="1" applyBorder="1" applyFont="1">
      <alignment horizontal="center"/>
    </xf>
    <xf borderId="3" fillId="7" fontId="3" numFmtId="0" xfId="0" applyBorder="1" applyFont="1"/>
    <xf borderId="7" fillId="8" fontId="1" numFmtId="0" xfId="0" applyAlignment="1" applyBorder="1" applyFill="1" applyFont="1">
      <alignment horizontal="left"/>
    </xf>
    <xf borderId="3" fillId="5" fontId="4" numFmtId="0" xfId="0" applyBorder="1" applyFont="1"/>
    <xf borderId="3" fillId="0" fontId="4" numFmtId="164" xfId="0" applyAlignment="1" applyBorder="1" applyFont="1" applyNumberFormat="1">
      <alignment horizontal="center"/>
    </xf>
    <xf borderId="0" fillId="0" fontId="4" numFmtId="165" xfId="0" applyFont="1" applyNumberFormat="1"/>
    <xf borderId="7" fillId="9" fontId="1" numFmtId="0" xfId="0" applyAlignment="1" applyBorder="1" applyFill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0" fontId="4" numFmtId="0" xfId="0" applyBorder="1" applyFont="1"/>
    <xf borderId="13" fillId="0" fontId="3" numFmtId="0" xfId="0" applyBorder="1" applyFont="1"/>
    <xf borderId="14" fillId="0" fontId="3" numFmtId="165" xfId="0" applyBorder="1" applyFont="1" applyNumberFormat="1"/>
    <xf borderId="15" fillId="0" fontId="3" numFmtId="0" xfId="0" applyBorder="1" applyFont="1"/>
    <xf borderId="16" fillId="0" fontId="3" numFmtId="165" xfId="0" applyAlignment="1" applyBorder="1" applyFont="1" applyNumberFormat="1">
      <alignment horizontal="left"/>
    </xf>
    <xf borderId="17" fillId="0" fontId="5" numFmtId="0" xfId="0" applyAlignment="1" applyBorder="1" applyFont="1">
      <alignment horizontal="left"/>
    </xf>
    <xf borderId="12" fillId="0" fontId="5" numFmtId="166" xfId="0" applyAlignment="1" applyBorder="1" applyFont="1" applyNumberFormat="1">
      <alignment horizontal="left"/>
    </xf>
    <xf borderId="13" fillId="0" fontId="5" numFmtId="0" xfId="0" applyAlignment="1" applyBorder="1" applyFont="1">
      <alignment horizontal="left"/>
    </xf>
    <xf borderId="14" fillId="0" fontId="5" numFmtId="166" xfId="0" applyAlignment="1" applyBorder="1" applyFont="1" applyNumberFormat="1">
      <alignment horizontal="left"/>
    </xf>
    <xf borderId="13" fillId="0" fontId="5" numFmtId="0" xfId="0" applyBorder="1" applyFont="1"/>
    <xf borderId="14" fillId="0" fontId="5" numFmtId="166" xfId="0" applyBorder="1" applyFont="1" applyNumberFormat="1"/>
    <xf borderId="0" fillId="0" fontId="3" numFmtId="3" xfId="0" applyFont="1" applyNumberFormat="1"/>
    <xf borderId="15" fillId="0" fontId="6" numFmtId="0" xfId="0" applyAlignment="1" applyBorder="1" applyFont="1">
      <alignment horizontal="center"/>
    </xf>
    <xf borderId="16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57.0"/>
    <col customWidth="1" min="3" max="3" width="53.38"/>
    <col customWidth="1" min="4" max="4" width="8.13"/>
    <col customWidth="1" min="5" max="5" width="16.13"/>
    <col customWidth="1" min="6" max="6" width="17.0"/>
    <col customWidth="1" min="7" max="26" width="8.63"/>
  </cols>
  <sheetData>
    <row r="1" ht="12.75" customHeight="1">
      <c r="B1" s="1" t="s">
        <v>0</v>
      </c>
    </row>
    <row r="2" ht="12.75" customHeight="1">
      <c r="B2" s="2"/>
    </row>
    <row r="3" ht="12.75" customHeight="1">
      <c r="B3" s="3" t="s">
        <v>1</v>
      </c>
      <c r="C3" s="4"/>
    </row>
    <row r="4" ht="12.75" customHeight="1">
      <c r="B4" s="5" t="s">
        <v>2</v>
      </c>
      <c r="C4" s="5" t="s">
        <v>3</v>
      </c>
    </row>
    <row r="5" ht="12.75" customHeight="1">
      <c r="B5" s="6" t="s">
        <v>4</v>
      </c>
      <c r="C5" s="7">
        <v>1.0</v>
      </c>
    </row>
    <row r="6" ht="12.75" customHeight="1">
      <c r="B6" s="6" t="s">
        <v>5</v>
      </c>
      <c r="C6" s="7">
        <v>3.0</v>
      </c>
    </row>
    <row r="7" ht="12.75" customHeight="1">
      <c r="B7" s="6" t="s">
        <v>6</v>
      </c>
      <c r="C7" s="7">
        <v>3.0</v>
      </c>
    </row>
    <row r="8" ht="12.75" customHeight="1">
      <c r="B8" s="8"/>
      <c r="C8" s="9"/>
    </row>
    <row r="9" ht="12.75" customHeight="1">
      <c r="B9" s="10" t="s">
        <v>7</v>
      </c>
      <c r="C9" s="11"/>
    </row>
    <row r="10" ht="12.75" customHeight="1">
      <c r="B10" s="5" t="s">
        <v>8</v>
      </c>
      <c r="C10" s="5" t="s">
        <v>9</v>
      </c>
      <c r="D10" s="5" t="s">
        <v>3</v>
      </c>
      <c r="E10" s="5" t="s">
        <v>10</v>
      </c>
    </row>
    <row r="11" ht="12.75" customHeight="1">
      <c r="A11" s="9" t="s">
        <v>11</v>
      </c>
      <c r="B11" s="7">
        <v>1.0</v>
      </c>
      <c r="C11" s="7">
        <v>1.0</v>
      </c>
      <c r="D11" s="7">
        <v>1.0</v>
      </c>
      <c r="E11" s="7">
        <f t="shared" ref="E11:E13" si="1">C11*D11</f>
        <v>1</v>
      </c>
    </row>
    <row r="12" ht="12.75" customHeight="1">
      <c r="A12" s="9" t="s">
        <v>12</v>
      </c>
      <c r="B12" s="7">
        <v>2.0</v>
      </c>
      <c r="C12" s="7">
        <v>0.0</v>
      </c>
      <c r="D12" s="7">
        <v>2.0</v>
      </c>
      <c r="E12" s="7">
        <f t="shared" si="1"/>
        <v>0</v>
      </c>
    </row>
    <row r="13" ht="12.75" customHeight="1">
      <c r="A13" s="9" t="s">
        <v>13</v>
      </c>
      <c r="B13" s="7">
        <v>3.0</v>
      </c>
      <c r="C13" s="7">
        <v>2.0</v>
      </c>
      <c r="D13" s="7">
        <v>3.0</v>
      </c>
      <c r="E13" s="7">
        <f t="shared" si="1"/>
        <v>6</v>
      </c>
    </row>
    <row r="14" ht="12.75" customHeight="1">
      <c r="B14" s="6"/>
      <c r="C14" s="6"/>
      <c r="D14" s="12" t="s">
        <v>14</v>
      </c>
      <c r="E14" s="13">
        <f>SUM(E11:E13)</f>
        <v>7</v>
      </c>
    </row>
    <row r="15" ht="12.75" customHeight="1">
      <c r="D15" s="14"/>
      <c r="E15" s="14"/>
    </row>
    <row r="16" ht="12.75" customHeight="1">
      <c r="B16" s="15" t="s">
        <v>15</v>
      </c>
      <c r="C16" s="11"/>
    </row>
    <row r="17" ht="12.75" customHeight="1">
      <c r="B17" s="5" t="s">
        <v>16</v>
      </c>
      <c r="C17" s="5" t="s">
        <v>3</v>
      </c>
    </row>
    <row r="18" ht="12.75" customHeight="1">
      <c r="B18" s="6" t="s">
        <v>17</v>
      </c>
      <c r="C18" s="7">
        <v>1.0</v>
      </c>
    </row>
    <row r="19" ht="12.75" customHeight="1">
      <c r="B19" s="6" t="s">
        <v>18</v>
      </c>
      <c r="C19" s="7">
        <v>1.0</v>
      </c>
    </row>
    <row r="20" ht="12.75" customHeight="1">
      <c r="B20" s="16" t="s">
        <v>19</v>
      </c>
      <c r="C20" s="7">
        <v>1.0</v>
      </c>
    </row>
    <row r="21" ht="12.75" customHeight="1">
      <c r="B21" s="6" t="s">
        <v>20</v>
      </c>
      <c r="C21" s="7">
        <v>1.0</v>
      </c>
    </row>
    <row r="22" ht="12.75" customHeight="1">
      <c r="B22" s="6" t="s">
        <v>21</v>
      </c>
      <c r="C22" s="7">
        <v>2.0</v>
      </c>
    </row>
    <row r="23" ht="12.75" customHeight="1">
      <c r="B23" s="6" t="s">
        <v>22</v>
      </c>
      <c r="C23" s="7">
        <v>2.0</v>
      </c>
    </row>
    <row r="24" ht="12.75" customHeight="1">
      <c r="B24" s="6" t="s">
        <v>23</v>
      </c>
      <c r="C24" s="7">
        <v>2.0</v>
      </c>
    </row>
    <row r="25" ht="12.75" customHeight="1">
      <c r="B25" s="17" t="s">
        <v>24</v>
      </c>
      <c r="C25" s="18">
        <v>2.0</v>
      </c>
    </row>
    <row r="26" ht="12.75" customHeight="1">
      <c r="B26" s="17" t="s">
        <v>25</v>
      </c>
      <c r="C26" s="18">
        <v>3.0</v>
      </c>
    </row>
    <row r="27" ht="12.75" customHeight="1">
      <c r="C27" s="18"/>
    </row>
    <row r="28" ht="12.75" customHeight="1">
      <c r="B28" s="15" t="s">
        <v>26</v>
      </c>
      <c r="C28" s="11"/>
    </row>
    <row r="29" ht="12.75" customHeight="1">
      <c r="B29" s="19" t="s">
        <v>27</v>
      </c>
      <c r="C29" s="5" t="s">
        <v>28</v>
      </c>
      <c r="D29" s="5" t="s">
        <v>3</v>
      </c>
      <c r="E29" s="5" t="s">
        <v>10</v>
      </c>
    </row>
    <row r="30" ht="12.75" customHeight="1">
      <c r="A30" s="9" t="s">
        <v>11</v>
      </c>
      <c r="B30" s="7">
        <v>1.0</v>
      </c>
      <c r="C30" s="7">
        <v>4.0</v>
      </c>
      <c r="D30" s="7">
        <v>1.0</v>
      </c>
      <c r="E30" s="7">
        <f t="shared" ref="E30:E32" si="2">C30*D30</f>
        <v>4</v>
      </c>
    </row>
    <row r="31" ht="12.75" customHeight="1">
      <c r="A31" s="9" t="s">
        <v>12</v>
      </c>
      <c r="B31" s="7">
        <v>2.0</v>
      </c>
      <c r="C31" s="7">
        <v>4.0</v>
      </c>
      <c r="D31" s="7">
        <v>2.0</v>
      </c>
      <c r="E31" s="7">
        <f t="shared" si="2"/>
        <v>8</v>
      </c>
    </row>
    <row r="32" ht="12.75" customHeight="1">
      <c r="A32" s="9" t="s">
        <v>13</v>
      </c>
      <c r="B32" s="7">
        <v>3.0</v>
      </c>
      <c r="C32" s="7">
        <v>1.0</v>
      </c>
      <c r="D32" s="7">
        <v>3.0</v>
      </c>
      <c r="E32" s="7">
        <f t="shared" si="2"/>
        <v>3</v>
      </c>
    </row>
    <row r="33" ht="12.75" customHeight="1">
      <c r="B33" s="6"/>
      <c r="C33" s="6"/>
      <c r="D33" s="20" t="s">
        <v>29</v>
      </c>
      <c r="E33" s="21">
        <f>SUM(E30:E32)</f>
        <v>15</v>
      </c>
    </row>
    <row r="34" ht="12.75" customHeight="1">
      <c r="D34" s="14"/>
      <c r="E34" s="14"/>
    </row>
    <row r="35" ht="12.75" customHeight="1">
      <c r="B35" s="22" t="s">
        <v>30</v>
      </c>
      <c r="C35" s="23"/>
    </row>
    <row r="36" ht="12.75" customHeight="1">
      <c r="B36" s="24" t="s">
        <v>31</v>
      </c>
    </row>
    <row r="37" ht="12.75" customHeight="1">
      <c r="B37" s="25" t="s">
        <v>32</v>
      </c>
      <c r="C37" s="26">
        <f>E14+E33</f>
        <v>22</v>
      </c>
    </row>
    <row r="38" ht="12.75" customHeight="1">
      <c r="B38" s="27"/>
    </row>
    <row r="39" ht="12.75" customHeight="1">
      <c r="B39" s="28" t="s">
        <v>33</v>
      </c>
      <c r="C39" s="11"/>
    </row>
    <row r="40" ht="12.75" customHeight="1">
      <c r="B40" s="5" t="s">
        <v>34</v>
      </c>
      <c r="C40" s="5" t="s">
        <v>35</v>
      </c>
      <c r="D40" s="5" t="s">
        <v>36</v>
      </c>
      <c r="E40" s="5" t="s">
        <v>37</v>
      </c>
      <c r="F40" s="5" t="s">
        <v>38</v>
      </c>
    </row>
    <row r="41" ht="12.75" customHeight="1">
      <c r="B41" s="7" t="s">
        <v>39</v>
      </c>
      <c r="C41" s="6" t="s">
        <v>40</v>
      </c>
      <c r="D41" s="7">
        <v>1.5</v>
      </c>
      <c r="E41" s="7">
        <v>1.0</v>
      </c>
      <c r="F41" s="7">
        <f t="shared" ref="F41:F48" si="3">D41*E41</f>
        <v>1.5</v>
      </c>
    </row>
    <row r="42" ht="12.75" customHeight="1">
      <c r="B42" s="7" t="s">
        <v>41</v>
      </c>
      <c r="C42" s="6" t="s">
        <v>42</v>
      </c>
      <c r="D42" s="7">
        <v>0.5</v>
      </c>
      <c r="E42" s="7">
        <v>2.0</v>
      </c>
      <c r="F42" s="7">
        <f t="shared" si="3"/>
        <v>1</v>
      </c>
    </row>
    <row r="43" ht="12.75" customHeight="1">
      <c r="B43" s="7" t="s">
        <v>43</v>
      </c>
      <c r="C43" s="6" t="s">
        <v>44</v>
      </c>
      <c r="D43" s="7">
        <v>1.0</v>
      </c>
      <c r="E43" s="7">
        <v>1.0</v>
      </c>
      <c r="F43" s="7">
        <f t="shared" si="3"/>
        <v>1</v>
      </c>
    </row>
    <row r="44" ht="12.75" customHeight="1">
      <c r="B44" s="7" t="s">
        <v>45</v>
      </c>
      <c r="C44" s="6" t="s">
        <v>46</v>
      </c>
      <c r="D44" s="7">
        <v>0.5</v>
      </c>
      <c r="E44" s="7">
        <v>5.0</v>
      </c>
      <c r="F44" s="7">
        <f t="shared" si="3"/>
        <v>2.5</v>
      </c>
    </row>
    <row r="45" ht="12.75" customHeight="1">
      <c r="B45" s="7" t="s">
        <v>47</v>
      </c>
      <c r="C45" s="6" t="s">
        <v>48</v>
      </c>
      <c r="D45" s="7">
        <v>1.0</v>
      </c>
      <c r="E45" s="7">
        <v>3.0</v>
      </c>
      <c r="F45" s="7">
        <f t="shared" si="3"/>
        <v>3</v>
      </c>
    </row>
    <row r="46" ht="12.75" customHeight="1">
      <c r="B46" s="7" t="s">
        <v>49</v>
      </c>
      <c r="C46" s="6" t="s">
        <v>50</v>
      </c>
      <c r="D46" s="7">
        <v>2.0</v>
      </c>
      <c r="E46" s="7">
        <v>3.0</v>
      </c>
      <c r="F46" s="7">
        <f t="shared" si="3"/>
        <v>6</v>
      </c>
    </row>
    <row r="47" ht="12.75" customHeight="1">
      <c r="B47" s="7" t="s">
        <v>51</v>
      </c>
      <c r="C47" s="6" t="s">
        <v>52</v>
      </c>
      <c r="D47" s="7">
        <v>-1.0</v>
      </c>
      <c r="E47" s="7">
        <v>4.0</v>
      </c>
      <c r="F47" s="7">
        <f t="shared" si="3"/>
        <v>-4</v>
      </c>
    </row>
    <row r="48" ht="12.75" customHeight="1">
      <c r="B48" s="7" t="s">
        <v>53</v>
      </c>
      <c r="C48" s="6" t="s">
        <v>54</v>
      </c>
      <c r="D48" s="7">
        <v>-1.0</v>
      </c>
      <c r="E48" s="29">
        <v>3.0</v>
      </c>
      <c r="F48" s="7">
        <f t="shared" si="3"/>
        <v>-3</v>
      </c>
    </row>
    <row r="49" ht="12.75" customHeight="1">
      <c r="B49" s="6"/>
      <c r="C49" s="6"/>
      <c r="D49" s="6"/>
      <c r="E49" s="30" t="s">
        <v>55</v>
      </c>
      <c r="F49" s="30">
        <f>SUM(F41:F48)</f>
        <v>8</v>
      </c>
    </row>
    <row r="50" ht="12.75" customHeight="1">
      <c r="B50" s="31" t="s">
        <v>56</v>
      </c>
    </row>
    <row r="51" ht="12.75" customHeight="1">
      <c r="B51" s="25" t="s">
        <v>57</v>
      </c>
      <c r="C51" s="26">
        <f>1.4+(-0.03*F49)</f>
        <v>1.16</v>
      </c>
    </row>
    <row r="52" ht="12.75" customHeight="1"/>
    <row r="53" ht="12.75" customHeight="1"/>
    <row r="54" ht="12.75" customHeight="1">
      <c r="B54" s="32" t="s">
        <v>58</v>
      </c>
      <c r="C54" s="11"/>
    </row>
    <row r="55" ht="12.75" customHeight="1">
      <c r="B55" s="5" t="s">
        <v>34</v>
      </c>
      <c r="C55" s="5" t="s">
        <v>59</v>
      </c>
      <c r="D55" s="5" t="s">
        <v>36</v>
      </c>
      <c r="E55" s="5" t="s">
        <v>37</v>
      </c>
      <c r="F55" s="5" t="s">
        <v>60</v>
      </c>
    </row>
    <row r="56" ht="12.75" customHeight="1">
      <c r="B56" s="7" t="s">
        <v>61</v>
      </c>
      <c r="C56" s="6" t="s">
        <v>62</v>
      </c>
      <c r="D56" s="7">
        <v>2.0</v>
      </c>
      <c r="E56" s="7">
        <v>3.0</v>
      </c>
      <c r="F56" s="7">
        <f t="shared" ref="F56:F68" si="4">D56*E56</f>
        <v>6</v>
      </c>
    </row>
    <row r="57" ht="12.75" customHeight="1">
      <c r="B57" s="7" t="s">
        <v>63</v>
      </c>
      <c r="C57" s="6" t="s">
        <v>64</v>
      </c>
      <c r="D57" s="7">
        <v>1.0</v>
      </c>
      <c r="E57" s="7">
        <v>3.0</v>
      </c>
      <c r="F57" s="7">
        <f t="shared" si="4"/>
        <v>3</v>
      </c>
    </row>
    <row r="58" ht="12.75" customHeight="1">
      <c r="B58" s="7" t="s">
        <v>65</v>
      </c>
      <c r="C58" s="6" t="s">
        <v>66</v>
      </c>
      <c r="D58" s="7">
        <v>1.0</v>
      </c>
      <c r="E58" s="7">
        <v>4.0</v>
      </c>
      <c r="F58" s="7">
        <f t="shared" si="4"/>
        <v>4</v>
      </c>
    </row>
    <row r="59" ht="12.75" customHeight="1">
      <c r="B59" s="7" t="s">
        <v>67</v>
      </c>
      <c r="C59" s="6" t="s">
        <v>68</v>
      </c>
      <c r="D59" s="7">
        <v>1.0</v>
      </c>
      <c r="E59" s="7">
        <v>2.0</v>
      </c>
      <c r="F59" s="7">
        <f t="shared" si="4"/>
        <v>2</v>
      </c>
    </row>
    <row r="60" ht="12.75" customHeight="1">
      <c r="B60" s="7" t="s">
        <v>69</v>
      </c>
      <c r="C60" s="6" t="s">
        <v>70</v>
      </c>
      <c r="D60" s="7">
        <v>1.0</v>
      </c>
      <c r="E60" s="7">
        <v>4.0</v>
      </c>
      <c r="F60" s="7">
        <f t="shared" si="4"/>
        <v>4</v>
      </c>
    </row>
    <row r="61" ht="12.75" customHeight="1">
      <c r="B61" s="7" t="s">
        <v>71</v>
      </c>
      <c r="C61" s="6" t="s">
        <v>72</v>
      </c>
      <c r="D61" s="7">
        <v>0.5</v>
      </c>
      <c r="E61" s="7">
        <v>2.0</v>
      </c>
      <c r="F61" s="7">
        <f t="shared" si="4"/>
        <v>1</v>
      </c>
    </row>
    <row r="62" ht="12.75" customHeight="1">
      <c r="B62" s="7" t="s">
        <v>73</v>
      </c>
      <c r="C62" s="6" t="s">
        <v>74</v>
      </c>
      <c r="D62" s="7">
        <v>0.5</v>
      </c>
      <c r="E62" s="7">
        <v>4.0</v>
      </c>
      <c r="F62" s="7">
        <f t="shared" si="4"/>
        <v>2</v>
      </c>
    </row>
    <row r="63" ht="12.75" customHeight="1">
      <c r="B63" s="7" t="s">
        <v>75</v>
      </c>
      <c r="C63" s="6" t="s">
        <v>76</v>
      </c>
      <c r="D63" s="7">
        <v>2.0</v>
      </c>
      <c r="E63" s="7">
        <v>3.0</v>
      </c>
      <c r="F63" s="7">
        <f t="shared" si="4"/>
        <v>6</v>
      </c>
    </row>
    <row r="64" ht="12.75" customHeight="1">
      <c r="B64" s="7" t="s">
        <v>77</v>
      </c>
      <c r="C64" s="6" t="s">
        <v>78</v>
      </c>
      <c r="D64" s="7">
        <v>1.0</v>
      </c>
      <c r="E64" s="7">
        <v>3.0</v>
      </c>
      <c r="F64" s="7">
        <f t="shared" si="4"/>
        <v>3</v>
      </c>
    </row>
    <row r="65" ht="12.75" customHeight="1">
      <c r="B65" s="7" t="s">
        <v>79</v>
      </c>
      <c r="C65" s="6" t="s">
        <v>80</v>
      </c>
      <c r="D65" s="7">
        <v>1.0</v>
      </c>
      <c r="E65" s="7">
        <v>3.0</v>
      </c>
      <c r="F65" s="7">
        <f t="shared" si="4"/>
        <v>3</v>
      </c>
    </row>
    <row r="66" ht="12.75" customHeight="1">
      <c r="B66" s="7" t="s">
        <v>81</v>
      </c>
      <c r="C66" s="6" t="s">
        <v>82</v>
      </c>
      <c r="D66" s="7">
        <v>1.0</v>
      </c>
      <c r="E66" s="7">
        <v>3.0</v>
      </c>
      <c r="F66" s="7">
        <f t="shared" si="4"/>
        <v>3</v>
      </c>
    </row>
    <row r="67" ht="12.75" customHeight="1">
      <c r="B67" s="7" t="s">
        <v>83</v>
      </c>
      <c r="C67" s="6" t="s">
        <v>84</v>
      </c>
      <c r="D67" s="7">
        <v>1.0</v>
      </c>
      <c r="E67" s="7">
        <v>2.0</v>
      </c>
      <c r="F67" s="7">
        <f t="shared" si="4"/>
        <v>2</v>
      </c>
    </row>
    <row r="68" ht="12.75" customHeight="1">
      <c r="B68" s="7" t="s">
        <v>85</v>
      </c>
      <c r="C68" s="6" t="s">
        <v>86</v>
      </c>
      <c r="D68" s="7">
        <v>1.0</v>
      </c>
      <c r="E68" s="7">
        <v>4.0</v>
      </c>
      <c r="F68" s="7">
        <f t="shared" si="4"/>
        <v>4</v>
      </c>
    </row>
    <row r="69" ht="12.75" customHeight="1">
      <c r="B69" s="33"/>
      <c r="C69" s="6"/>
      <c r="D69" s="6"/>
      <c r="E69" s="34" t="s">
        <v>87</v>
      </c>
      <c r="F69" s="34">
        <f>SUM(F56:F68)</f>
        <v>43</v>
      </c>
    </row>
    <row r="70" ht="12.75" customHeight="1">
      <c r="B70" s="35" t="s">
        <v>88</v>
      </c>
    </row>
    <row r="71" ht="12.75" customHeight="1">
      <c r="B71" s="25" t="s">
        <v>89</v>
      </c>
      <c r="C71" s="26">
        <f>0.6+(0.01*F69)</f>
        <v>1.03</v>
      </c>
    </row>
    <row r="72" ht="12.75" customHeight="1"/>
    <row r="73" ht="12.75" customHeight="1"/>
    <row r="74" ht="12.75" customHeight="1">
      <c r="B74" s="36" t="s">
        <v>90</v>
      </c>
      <c r="C74" s="23"/>
    </row>
    <row r="75" ht="12.75" customHeight="1">
      <c r="B75" s="37" t="s">
        <v>91</v>
      </c>
      <c r="C75" s="38">
        <f>C37*C71*C51</f>
        <v>26.2856</v>
      </c>
    </row>
    <row r="76" ht="12.75" customHeight="1">
      <c r="B76" s="25" t="s">
        <v>92</v>
      </c>
    </row>
    <row r="77" ht="12.75" customHeight="1">
      <c r="C77" s="39"/>
      <c r="D77" s="39"/>
      <c r="E77" s="39"/>
    </row>
    <row r="78" ht="12.75" customHeight="1">
      <c r="B78" s="40" t="s">
        <v>93</v>
      </c>
      <c r="C78" s="23"/>
    </row>
    <row r="79" ht="12.75" customHeight="1">
      <c r="B79" s="41" t="s">
        <v>94</v>
      </c>
    </row>
    <row r="80" ht="12.75" customHeight="1">
      <c r="B80" s="42" t="s">
        <v>95</v>
      </c>
      <c r="C80" s="43"/>
    </row>
    <row r="81" ht="12.75" customHeight="1">
      <c r="B81" s="44" t="s">
        <v>96</v>
      </c>
      <c r="C81" s="45">
        <f>C75</f>
        <v>26.2856</v>
      </c>
    </row>
    <row r="82" ht="12.75" customHeight="1">
      <c r="B82" s="46" t="s">
        <v>97</v>
      </c>
      <c r="C82" s="47">
        <f>C81*20</f>
        <v>525.712</v>
      </c>
    </row>
    <row r="83" ht="12.75" customHeight="1"/>
    <row r="84" ht="12.75" customHeight="1">
      <c r="B84" s="48" t="s">
        <v>98</v>
      </c>
      <c r="C84" s="49">
        <v>8.0</v>
      </c>
    </row>
    <row r="85" ht="12.75" customHeight="1">
      <c r="B85" s="50" t="s">
        <v>99</v>
      </c>
      <c r="C85" s="51">
        <v>24.0</v>
      </c>
      <c r="E85" s="27"/>
      <c r="F85" s="27"/>
    </row>
    <row r="86" ht="12.75" customHeight="1">
      <c r="B86" s="52" t="s">
        <v>100</v>
      </c>
      <c r="C86" s="53">
        <f>C82/C84</f>
        <v>65.714</v>
      </c>
    </row>
    <row r="87" ht="12.75" customHeight="1">
      <c r="B87" s="52" t="s">
        <v>101</v>
      </c>
      <c r="C87" s="53">
        <f>C86/C85</f>
        <v>2.738083333</v>
      </c>
      <c r="E87" s="27"/>
      <c r="F87" s="54"/>
    </row>
    <row r="88" ht="12.75" customHeight="1">
      <c r="B88" s="55"/>
      <c r="C88" s="56"/>
      <c r="E88" s="27"/>
    </row>
    <row r="89" ht="12.75" customHeight="1">
      <c r="B89" s="27"/>
    </row>
    <row r="90" ht="12.75" customHeight="1">
      <c r="B90" s="27"/>
      <c r="C90" s="54"/>
      <c r="E90" s="27"/>
      <c r="F90" s="54"/>
    </row>
    <row r="91" ht="12.75" customHeight="1">
      <c r="C91" s="57"/>
    </row>
    <row r="92" ht="12.75" customHeight="1"/>
    <row r="93" ht="12.75" customHeight="1"/>
    <row r="94" ht="12.75" customHeight="1">
      <c r="B94" s="27"/>
      <c r="E94" s="27"/>
    </row>
    <row r="95" ht="12.75" customHeight="1"/>
    <row r="96" ht="12.75" customHeight="1">
      <c r="B96" s="27"/>
      <c r="C96" s="54"/>
      <c r="E96" s="27"/>
      <c r="F96" s="54"/>
    </row>
    <row r="97" ht="12.75" customHeight="1">
      <c r="B97" s="27"/>
      <c r="E97" s="27"/>
    </row>
    <row r="98" ht="12.75" customHeight="1"/>
    <row r="99" ht="12.75" customHeight="1">
      <c r="B99" s="27"/>
      <c r="C99" s="54"/>
      <c r="E99" s="27"/>
      <c r="F99" s="54"/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B74:C74"/>
    <mergeCell ref="B78:C78"/>
    <mergeCell ref="B88:C88"/>
    <mergeCell ref="B3:C3"/>
    <mergeCell ref="B9:C9"/>
    <mergeCell ref="B16:C16"/>
    <mergeCell ref="B28:C28"/>
    <mergeCell ref="B35:C35"/>
    <mergeCell ref="B39:C39"/>
    <mergeCell ref="B54:C54"/>
  </mergeCells>
  <printOptions/>
  <pageMargins bottom="0.984251969" footer="0.0" header="0.0" left="0.787401575" right="0.787401575" top="0.984251969"/>
  <pageSetup paperSize="9" orientation="portrait"/>
  <drawing r:id="rId1"/>
</worksheet>
</file>